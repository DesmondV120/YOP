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nan/Downloads/AOT/Module 3/"/>
    </mc:Choice>
  </mc:AlternateContent>
  <xr:revisionPtr revIDLastSave="0" documentId="13_ncr:9_{A292DC7B-84A8-C247-A773-9459ACA71715}" xr6:coauthVersionLast="47" xr6:coauthVersionMax="47" xr10:uidLastSave="{00000000-0000-0000-0000-000000000000}"/>
  <bookViews>
    <workbookView xWindow="380" yWindow="500" windowWidth="28040" windowHeight="15820" activeTab="2" xr2:uid="{58A0F84A-CBD9-4B48-91D2-4C83C264AD48}"/>
  </bookViews>
  <sheets>
    <sheet name="Module3_assignment_data_1 - Mod" sheetId="1" r:id="rId1"/>
    <sheet name="Sheet1" sheetId="2" r:id="rId2"/>
    <sheet name="Sheet2" sheetId="3" r:id="rId3"/>
  </sheets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3" l="1"/>
  <c r="C15" i="3"/>
  <c r="B16" i="3"/>
  <c r="B15" i="3"/>
  <c r="H13" i="2"/>
  <c r="H12" i="2"/>
  <c r="E13" i="2"/>
  <c r="E12" i="2"/>
  <c r="D13" i="2"/>
  <c r="D12" i="2"/>
  <c r="C12" i="2"/>
  <c r="C13" i="2"/>
  <c r="B13" i="2"/>
  <c r="B12" i="2"/>
</calcChain>
</file>

<file path=xl/sharedStrings.xml><?xml version="1.0" encoding="utf-8"?>
<sst xmlns="http://schemas.openxmlformats.org/spreadsheetml/2006/main" count="139" uniqueCount="33">
  <si>
    <t>Date</t>
  </si>
  <si>
    <t>Sales Volume</t>
  </si>
  <si>
    <t>Sales Revenue ($)</t>
  </si>
  <si>
    <t>Website Visits</t>
  </si>
  <si>
    <t>Social Media Impressions</t>
  </si>
  <si>
    <t>Social Media Click-Through Rate (CTR)</t>
  </si>
  <si>
    <t>Campaign Active (Yes/No)</t>
  </si>
  <si>
    <t>Prescriptions Filled</t>
  </si>
  <si>
    <t>Customer Age</t>
  </si>
  <si>
    <t>Region</t>
  </si>
  <si>
    <t>No</t>
  </si>
  <si>
    <t>East</t>
  </si>
  <si>
    <t>West</t>
  </si>
  <si>
    <t>Yes</t>
  </si>
  <si>
    <t>South</t>
  </si>
  <si>
    <t>North</t>
  </si>
  <si>
    <t>Participant ID</t>
  </si>
  <si>
    <t>Age</t>
  </si>
  <si>
    <t>Gender</t>
  </si>
  <si>
    <t>Diabetes Type</t>
  </si>
  <si>
    <t>Group (A/B)</t>
  </si>
  <si>
    <t>Prescribed Drug (Yes/No)</t>
  </si>
  <si>
    <t>Duration of Diabetes (Years)</t>
  </si>
  <si>
    <t>Income Level</t>
  </si>
  <si>
    <t>Male</t>
  </si>
  <si>
    <t>Type 2</t>
  </si>
  <si>
    <t>A</t>
  </si>
  <si>
    <t>High</t>
  </si>
  <si>
    <t>Female</t>
  </si>
  <si>
    <t>Type 1</t>
  </si>
  <si>
    <t>B</t>
  </si>
  <si>
    <t>Medium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</si>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</sst>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 Volume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Sheet1!$A$2:$A$10</c:f>
              <c:numCache>
                <c:formatCode>m/d/yy</c:formatCode>
                <c:ptCount val="9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</c:numCache>
            </c:numRef>
          </c:cat>
          <c:val>
            <c:numRef>
              <c:f>Sheet1!$B$2:$B$10</c:f>
              <c:numCache>
                <c:formatCode>General</c:formatCode>
                <c:ptCount val="9"/>
                <c:pt idx="0">
                  <c:v>1500</c:v>
                </c:pt>
                <c:pt idx="1">
                  <c:v>1600</c:v>
                </c:pt>
                <c:pt idx="2">
                  <c:v>2000</c:v>
                </c:pt>
                <c:pt idx="3">
                  <c:v>1800</c:v>
                </c:pt>
                <c:pt idx="4">
                  <c:v>2500</c:v>
                </c:pt>
                <c:pt idx="5">
                  <c:v>2800</c:v>
                </c:pt>
                <c:pt idx="6">
                  <c:v>2200</c:v>
                </c:pt>
                <c:pt idx="7">
                  <c:v>2100</c:v>
                </c:pt>
                <c:pt idx="8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F-514F-99B1-BEA29F78D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5376031"/>
        <c:axId val="1214181615"/>
      </c:lineChart>
      <c:dateAx>
        <c:axId val="127537603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181615"/>
        <c:crosses val="autoZero"/>
        <c:auto val="1"/>
        <c:lblOffset val="100"/>
        <c:baseTimeUnit val="days"/>
      </c:dateAx>
      <c:valAx>
        <c:axId val="121418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376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Website Visits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Sheet1!$A$2:$A$10</c:f>
              <c:numCache>
                <c:formatCode>m/d/yy</c:formatCode>
                <c:ptCount val="9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</c:numCache>
            </c:numRef>
          </c:cat>
          <c:val>
            <c:numRef>
              <c:f>Sheet1!$D$2:$D$10</c:f>
              <c:numCache>
                <c:formatCode>General</c:formatCode>
                <c:ptCount val="9"/>
                <c:pt idx="0">
                  <c:v>3000</c:v>
                </c:pt>
                <c:pt idx="1">
                  <c:v>3200</c:v>
                </c:pt>
                <c:pt idx="2">
                  <c:v>3500</c:v>
                </c:pt>
                <c:pt idx="3">
                  <c:v>3300</c:v>
                </c:pt>
                <c:pt idx="4">
                  <c:v>4000</c:v>
                </c:pt>
                <c:pt idx="5">
                  <c:v>4500</c:v>
                </c:pt>
                <c:pt idx="6">
                  <c:v>3800</c:v>
                </c:pt>
                <c:pt idx="7">
                  <c:v>3700</c:v>
                </c:pt>
                <c:pt idx="8">
                  <c:v>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3-7649-97E4-A13BF89E4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0173567"/>
        <c:axId val="1217039087"/>
      </c:lineChart>
      <c:dateAx>
        <c:axId val="151017356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039087"/>
        <c:crosses val="autoZero"/>
        <c:auto val="1"/>
        <c:lblOffset val="100"/>
        <c:baseTimeUnit val="days"/>
      </c:dateAx>
      <c:valAx>
        <c:axId val="1217039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0173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Social Media Impressions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Sheet1!$A$2:$A$10</c:f>
              <c:numCache>
                <c:formatCode>m/d/yy</c:formatCode>
                <c:ptCount val="9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45297</c:v>
                </c:pt>
                <c:pt idx="6">
                  <c:v>45298</c:v>
                </c:pt>
                <c:pt idx="7">
                  <c:v>45299</c:v>
                </c:pt>
                <c:pt idx="8">
                  <c:v>45300</c:v>
                </c:pt>
              </c:numCache>
            </c:numRef>
          </c:cat>
          <c:val>
            <c:numRef>
              <c:f>Sheet1!$E$2:$E$10</c:f>
              <c:numCache>
                <c:formatCode>General</c:formatCode>
                <c:ptCount val="9"/>
                <c:pt idx="0">
                  <c:v>10000</c:v>
                </c:pt>
                <c:pt idx="1">
                  <c:v>10500</c:v>
                </c:pt>
                <c:pt idx="2">
                  <c:v>12000</c:v>
                </c:pt>
                <c:pt idx="3">
                  <c:v>11500</c:v>
                </c:pt>
                <c:pt idx="4">
                  <c:v>15000</c:v>
                </c:pt>
                <c:pt idx="5">
                  <c:v>16000</c:v>
                </c:pt>
                <c:pt idx="6">
                  <c:v>14000</c:v>
                </c:pt>
                <c:pt idx="7">
                  <c:v>13000</c:v>
                </c:pt>
                <c:pt idx="8">
                  <c:v>15500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BB-3640-93EE-FB0FC1A9D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8894991"/>
        <c:axId val="1231535599"/>
      </c:lineChart>
      <c:dateAx>
        <c:axId val="120889499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1535599"/>
        <c:crosses val="autoZero"/>
        <c:auto val="1"/>
        <c:lblOffset val="100"/>
        <c:baseTimeUnit val="days"/>
      </c:dateAx>
      <c:valAx>
        <c:axId val="123153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89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Sales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Sheet1!$B$2:$B$10</c:f>
              <c:numCache>
                <c:formatCode>General</c:formatCode>
                <c:ptCount val="9"/>
                <c:pt idx="0">
                  <c:v>1500</c:v>
                </c:pt>
                <c:pt idx="1">
                  <c:v>1600</c:v>
                </c:pt>
                <c:pt idx="2">
                  <c:v>2000</c:v>
                </c:pt>
                <c:pt idx="3">
                  <c:v>1800</c:v>
                </c:pt>
                <c:pt idx="4">
                  <c:v>2500</c:v>
                </c:pt>
                <c:pt idx="5">
                  <c:v>2800</c:v>
                </c:pt>
                <c:pt idx="6">
                  <c:v>2200</c:v>
                </c:pt>
                <c:pt idx="7">
                  <c:v>2100</c:v>
                </c:pt>
                <c:pt idx="8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A-CF44-A759-931CF13F8666}"/>
            </c:ext>
          </c:extLst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Website Visits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Sheet1!$D$2:$D$10</c:f>
              <c:numCache>
                <c:formatCode>General</c:formatCode>
                <c:ptCount val="9"/>
                <c:pt idx="0">
                  <c:v>3000</c:v>
                </c:pt>
                <c:pt idx="1">
                  <c:v>3200</c:v>
                </c:pt>
                <c:pt idx="2">
                  <c:v>3500</c:v>
                </c:pt>
                <c:pt idx="3">
                  <c:v>3300</c:v>
                </c:pt>
                <c:pt idx="4">
                  <c:v>4000</c:v>
                </c:pt>
                <c:pt idx="5">
                  <c:v>4500</c:v>
                </c:pt>
                <c:pt idx="6">
                  <c:v>3800</c:v>
                </c:pt>
                <c:pt idx="7">
                  <c:v>3700</c:v>
                </c:pt>
                <c:pt idx="8">
                  <c:v>4200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9A-CF44-A759-931CF13F8666}"/>
            </c:ext>
          </c:extLst>
        </c:ser>
        <c:ser>
          <c:idx val="2"/>
          <c:order val="2"/>
          <c:tx>
            <c:strRef>
              <c:f>Sheet1!$H$1</c:f>
              <c:strCache>
                <c:ptCount val="1"/>
                <c:pt idx="0">
                  <c:v>Prescriptions 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Sheet1!$H$2:$H$10</c:f>
              <c:numCache>
                <c:formatCode>General</c:formatCode>
                <c:ptCount val="9"/>
                <c:pt idx="0">
                  <c:v>500</c:v>
                </c:pt>
                <c:pt idx="1">
                  <c:v>520</c:v>
                </c:pt>
                <c:pt idx="2">
                  <c:v>550</c:v>
                </c:pt>
                <c:pt idx="3">
                  <c:v>570</c:v>
                </c:pt>
                <c:pt idx="4">
                  <c:v>600</c:v>
                </c:pt>
                <c:pt idx="5">
                  <c:v>620</c:v>
                </c:pt>
                <c:pt idx="6">
                  <c:v>580</c:v>
                </c:pt>
                <c:pt idx="7">
                  <c:v>590</c:v>
                </c:pt>
                <c:pt idx="8">
                  <c:v>610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9A-CF44-A759-931CF13F8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08497759"/>
        <c:axId val="1208674383"/>
      </c:barChart>
      <c:catAx>
        <c:axId val="1208497759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674383"/>
        <c:crosses val="autoZero"/>
        <c:auto val="1"/>
        <c:lblAlgn val="ctr"/>
        <c:lblOffset val="100"/>
        <c:noMultiLvlLbl val="0"/>
      </c:catAx>
      <c:valAx>
        <c:axId val="1208674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49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692150</xdr:colOff>
      <xdr:row>15</xdr:row>
      <xdr:rowOff>171450</xdr:rowOff>
    </xdr:from>
    <xdr:to>
      <xdr:col>9</xdr:col>
      <xdr:colOff>311150</xdr:colOff>
      <xdr:row>29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55DC02-4F23-0433-9833-621B4D53F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196850</xdr:colOff>
      <xdr:row>11</xdr:row>
      <xdr:rowOff>152400</xdr:rowOff>
    </xdr:from>
    <xdr:to>
      <xdr:col>16</xdr:col>
      <xdr:colOff>641350</xdr:colOff>
      <xdr:row>25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2A6EDB9-53EB-34E8-4915-5CCA3C5BB4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717550</xdr:colOff>
      <xdr:row>12</xdr:row>
      <xdr:rowOff>12700</xdr:rowOff>
    </xdr:from>
    <xdr:to>
      <xdr:col>23</xdr:col>
      <xdr:colOff>336550</xdr:colOff>
      <xdr:row>25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D4D4BC-A732-B5E5-45EE-CEE04A3E04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425450</xdr:colOff>
      <xdr:row>28</xdr:row>
      <xdr:rowOff>12700</xdr:rowOff>
    </xdr:from>
    <xdr:to>
      <xdr:col>15</xdr:col>
      <xdr:colOff>44450</xdr:colOff>
      <xdr:row>41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6803E68-A0BE-C4EB-71A9-AEE4B830F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B2352-8735-AA40-ADF4-660F4DED5E6F}">
  <dimension ref="A1:J18"/>
  <sheetViews>
    <sheetView workbookViewId="0">
      <selection activeCell="C15" sqref="C15"/>
    </sheetView>
  </sheetViews>
  <sheetFormatPr baseColWidth="10" defaultRowHeight="16" x14ac:dyDescent="0.2"/>
  <sheetData>
    <row r="1" spans="1:1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">
      <c r="A2" s="1">
        <v>45292</v>
      </c>
      <c r="B2">
        <v>1500</v>
      </c>
      <c r="C2">
        <v>12000</v>
      </c>
      <c r="D2">
        <v>3000</v>
      </c>
      <c r="E2">
        <v>10000</v>
      </c>
      <c r="F2">
        <v>0.05</v>
      </c>
      <c r="G2" t="s">
        <v>10</v>
      </c>
      <c r="H2">
        <v>500</v>
      </c>
      <c r="I2">
        <v>55</v>
      </c>
      <c r="J2" t="s">
        <v>11</v>
      </c>
    </row>
    <row r="3" spans="1:10" x14ac:dyDescent="0.2">
      <c r="A3" s="1">
        <v>45293</v>
      </c>
      <c r="B3">
        <v>1600</v>
      </c>
      <c r="C3">
        <v>12800</v>
      </c>
      <c r="D3">
        <v>3200</v>
      </c>
      <c r="E3">
        <v>10500</v>
      </c>
      <c r="F3">
        <v>0.06</v>
      </c>
      <c r="G3" t="s">
        <v>10</v>
      </c>
      <c r="H3">
        <v>520</v>
      </c>
      <c r="I3">
        <v>58</v>
      </c>
      <c r="J3" t="s">
        <v>12</v>
      </c>
    </row>
    <row r="4" spans="1:10" x14ac:dyDescent="0.2">
      <c r="A4" s="1">
        <v>45294</v>
      </c>
      <c r="B4">
        <v>2000</v>
      </c>
      <c r="C4">
        <v>16000</v>
      </c>
      <c r="D4">
        <v>3500</v>
      </c>
      <c r="E4">
        <v>12000</v>
      </c>
      <c r="F4">
        <v>7.0000000000000007E-2</v>
      </c>
      <c r="G4" t="s">
        <v>10</v>
      </c>
      <c r="H4">
        <v>550</v>
      </c>
      <c r="I4">
        <v>60</v>
      </c>
      <c r="J4" t="s">
        <v>11</v>
      </c>
    </row>
    <row r="5" spans="1:10" x14ac:dyDescent="0.2">
      <c r="A5" s="1">
        <v>45295</v>
      </c>
      <c r="B5">
        <v>1800</v>
      </c>
      <c r="C5">
        <v>14400</v>
      </c>
      <c r="D5">
        <v>3300</v>
      </c>
      <c r="E5">
        <v>11500</v>
      </c>
      <c r="F5">
        <v>0.06</v>
      </c>
      <c r="G5" t="s">
        <v>13</v>
      </c>
      <c r="H5">
        <v>570</v>
      </c>
      <c r="I5">
        <v>62</v>
      </c>
      <c r="J5" t="s">
        <v>14</v>
      </c>
    </row>
    <row r="6" spans="1:10" x14ac:dyDescent="0.2">
      <c r="A6" s="1">
        <v>45296</v>
      </c>
      <c r="B6">
        <v>2500</v>
      </c>
      <c r="C6">
        <v>20000</v>
      </c>
      <c r="D6">
        <v>4000</v>
      </c>
      <c r="E6">
        <v>15000</v>
      </c>
      <c r="F6">
        <v>0.08</v>
      </c>
      <c r="G6" t="s">
        <v>13</v>
      </c>
      <c r="H6">
        <v>600</v>
      </c>
      <c r="I6">
        <v>64</v>
      </c>
      <c r="J6" t="s">
        <v>15</v>
      </c>
    </row>
    <row r="7" spans="1:10" x14ac:dyDescent="0.2">
      <c r="A7" s="1">
        <v>45297</v>
      </c>
      <c r="B7">
        <v>2800</v>
      </c>
      <c r="C7">
        <v>22400</v>
      </c>
      <c r="D7">
        <v>4500</v>
      </c>
      <c r="E7">
        <v>16000</v>
      </c>
      <c r="F7">
        <v>0.09</v>
      </c>
      <c r="G7" t="s">
        <v>13</v>
      </c>
      <c r="H7">
        <v>620</v>
      </c>
      <c r="I7">
        <v>66</v>
      </c>
      <c r="J7" t="s">
        <v>12</v>
      </c>
    </row>
    <row r="8" spans="1:10" x14ac:dyDescent="0.2">
      <c r="A8" s="1">
        <v>45298</v>
      </c>
      <c r="B8">
        <v>2200</v>
      </c>
      <c r="C8">
        <v>17600</v>
      </c>
      <c r="D8">
        <v>3800</v>
      </c>
      <c r="E8">
        <v>14000</v>
      </c>
      <c r="F8">
        <v>7.0000000000000007E-2</v>
      </c>
      <c r="G8" t="s">
        <v>13</v>
      </c>
      <c r="H8">
        <v>580</v>
      </c>
      <c r="I8">
        <v>57</v>
      </c>
      <c r="J8" t="s">
        <v>14</v>
      </c>
    </row>
    <row r="9" spans="1:10" x14ac:dyDescent="0.2">
      <c r="A9" s="1">
        <v>45299</v>
      </c>
      <c r="B9">
        <v>2100</v>
      </c>
      <c r="C9">
        <v>16800</v>
      </c>
      <c r="D9">
        <v>3700</v>
      </c>
      <c r="E9">
        <v>13000</v>
      </c>
      <c r="F9">
        <v>0.06</v>
      </c>
      <c r="G9" t="s">
        <v>13</v>
      </c>
      <c r="H9">
        <v>590</v>
      </c>
      <c r="I9">
        <v>59</v>
      </c>
      <c r="J9" t="s">
        <v>11</v>
      </c>
    </row>
    <row r="10" spans="1:10" x14ac:dyDescent="0.2">
      <c r="A10" s="1">
        <v>45300</v>
      </c>
      <c r="B10">
        <v>2300</v>
      </c>
      <c r="C10">
        <v>18400</v>
      </c>
      <c r="D10">
        <v>4200</v>
      </c>
      <c r="E10">
        <v>15500</v>
      </c>
      <c r="F10">
        <v>0.08</v>
      </c>
      <c r="G10" t="s">
        <v>13</v>
      </c>
      <c r="H10">
        <v>610</v>
      </c>
      <c r="I10">
        <v>61</v>
      </c>
      <c r="J10" t="s">
        <v>15</v>
      </c>
    </row>
    <row r="11" spans="1:10" x14ac:dyDescent="0.2">
      <c r="A11" s="1">
        <v>45301</v>
      </c>
      <c r="B11">
        <v>2500</v>
      </c>
      <c r="C11">
        <v>20000</v>
      </c>
      <c r="D11">
        <v>4600</v>
      </c>
      <c r="E11">
        <v>17000</v>
      </c>
      <c r="F11">
        <v>0.09</v>
      </c>
      <c r="G11" t="s">
        <v>13</v>
      </c>
      <c r="H11">
        <v>630</v>
      </c>
      <c r="I11">
        <v>63</v>
      </c>
      <c r="J11" t="s">
        <v>12</v>
      </c>
    </row>
    <row r="14" spans="1:10" x14ac:dyDescent="0.2">
      <c r="B14">
        <v>1700</v>
      </c>
      <c r="C14">
        <v>13600</v>
      </c>
    </row>
    <row r="15" spans="1:10" x14ac:dyDescent="0.2">
      <c r="B15">
        <v>2314.2857140000001</v>
      </c>
      <c r="C15">
        <v>18514.28571</v>
      </c>
    </row>
    <row r="17" spans="2:2" x14ac:dyDescent="0.2">
      <c r="B17">
        <v>3233.333333</v>
      </c>
    </row>
    <row r="18" spans="2:2" x14ac:dyDescent="0.2">
      <c r="B18">
        <v>4014.2857140000001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A4DDD-8A61-3842-92FB-83C09A05526B}">
  <dimension ref="A1:J13"/>
  <sheetViews>
    <sheetView zoomScale="97" zoomScaleNormal="97" workbookViewId="0">
      <selection activeCell="F1" sqref="F1"/>
    </sheetView>
  </sheetViews>
  <sheetFormatPr baseColWidth="10" defaultRowHeight="16" x14ac:dyDescent="0.2"/>
  <sheetData>
    <row r="1" spans="1:10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</row>
    <row r="2" spans="1:10" x14ac:dyDescent="0.2">
      <c r="A2" s="1">
        <v>45292</v>
      </c>
      <c r="B2">
        <v>1500</v>
      </c>
      <c r="C2">
        <v>12000</v>
      </c>
      <c r="D2">
        <v>3000</v>
      </c>
      <c r="E2">
        <v>10000</v>
      </c>
      <c r="F2">
        <v>0.05</v>
      </c>
      <c r="G2" t="s">
        <v>10</v>
      </c>
      <c r="H2">
        <v>500</v>
      </c>
      <c r="I2">
        <v>55</v>
      </c>
      <c r="J2" t="s">
        <v>11</v>
      </c>
    </row>
    <row r="3" spans="1:10" x14ac:dyDescent="0.2">
      <c r="A3" s="1">
        <v>45293</v>
      </c>
      <c r="B3">
        <v>1600</v>
      </c>
      <c r="C3">
        <v>12800</v>
      </c>
      <c r="D3">
        <v>3200</v>
      </c>
      <c r="E3">
        <v>10500</v>
      </c>
      <c r="F3">
        <v>0.06</v>
      </c>
      <c r="G3" t="s">
        <v>10</v>
      </c>
      <c r="H3">
        <v>520</v>
      </c>
      <c r="I3">
        <v>58</v>
      </c>
      <c r="J3" t="s">
        <v>12</v>
      </c>
    </row>
    <row r="4" spans="1:10" x14ac:dyDescent="0.2">
      <c r="A4" s="1">
        <v>45294</v>
      </c>
      <c r="B4">
        <v>2000</v>
      </c>
      <c r="C4">
        <v>16000</v>
      </c>
      <c r="D4">
        <v>3500</v>
      </c>
      <c r="E4">
        <v>12000</v>
      </c>
      <c r="F4">
        <v>7.0000000000000007E-2</v>
      </c>
      <c r="G4" t="s">
        <v>10</v>
      </c>
      <c r="H4">
        <v>550</v>
      </c>
      <c r="I4">
        <v>60</v>
      </c>
      <c r="J4" t="s">
        <v>11</v>
      </c>
    </row>
    <row r="5" spans="1:10" x14ac:dyDescent="0.2">
      <c r="A5" s="1">
        <v>45295</v>
      </c>
      <c r="B5">
        <v>1800</v>
      </c>
      <c r="C5">
        <v>14400</v>
      </c>
      <c r="D5">
        <v>3300</v>
      </c>
      <c r="E5">
        <v>11500</v>
      </c>
      <c r="F5">
        <v>0.06</v>
      </c>
      <c r="G5" t="s">
        <v>13</v>
      </c>
      <c r="H5">
        <v>570</v>
      </c>
      <c r="I5">
        <v>62</v>
      </c>
      <c r="J5" t="s">
        <v>14</v>
      </c>
    </row>
    <row r="6" spans="1:10" x14ac:dyDescent="0.2">
      <c r="A6" s="1">
        <v>45296</v>
      </c>
      <c r="B6">
        <v>2500</v>
      </c>
      <c r="C6">
        <v>20000</v>
      </c>
      <c r="D6">
        <v>4000</v>
      </c>
      <c r="E6">
        <v>15000</v>
      </c>
      <c r="F6">
        <v>0.08</v>
      </c>
      <c r="G6" t="s">
        <v>13</v>
      </c>
      <c r="H6">
        <v>600</v>
      </c>
      <c r="I6">
        <v>64</v>
      </c>
      <c r="J6" t="s">
        <v>15</v>
      </c>
    </row>
    <row r="7" spans="1:10" x14ac:dyDescent="0.2">
      <c r="A7" s="1">
        <v>45297</v>
      </c>
      <c r="B7">
        <v>2800</v>
      </c>
      <c r="C7">
        <v>22400</v>
      </c>
      <c r="D7">
        <v>4500</v>
      </c>
      <c r="E7">
        <v>16000</v>
      </c>
      <c r="F7">
        <v>0.09</v>
      </c>
      <c r="G7" t="s">
        <v>13</v>
      </c>
      <c r="H7">
        <v>620</v>
      </c>
      <c r="I7">
        <v>66</v>
      </c>
      <c r="J7" t="s">
        <v>12</v>
      </c>
    </row>
    <row r="8" spans="1:10" x14ac:dyDescent="0.2">
      <c r="A8" s="1">
        <v>45298</v>
      </c>
      <c r="B8">
        <v>2200</v>
      </c>
      <c r="C8">
        <v>17600</v>
      </c>
      <c r="D8">
        <v>3800</v>
      </c>
      <c r="E8">
        <v>14000</v>
      </c>
      <c r="F8">
        <v>7.0000000000000007E-2</v>
      </c>
      <c r="G8" t="s">
        <v>13</v>
      </c>
      <c r="H8">
        <v>580</v>
      </c>
      <c r="I8">
        <v>57</v>
      </c>
      <c r="J8" t="s">
        <v>14</v>
      </c>
    </row>
    <row r="9" spans="1:10" x14ac:dyDescent="0.2">
      <c r="A9" s="1">
        <v>45299</v>
      </c>
      <c r="B9">
        <v>2100</v>
      </c>
      <c r="C9">
        <v>16800</v>
      </c>
      <c r="D9">
        <v>3700</v>
      </c>
      <c r="E9">
        <v>13000</v>
      </c>
      <c r="F9">
        <v>0.06</v>
      </c>
      <c r="G9" t="s">
        <v>13</v>
      </c>
      <c r="H9">
        <v>590</v>
      </c>
      <c r="I9">
        <v>59</v>
      </c>
      <c r="J9" t="s">
        <v>11</v>
      </c>
    </row>
    <row r="10" spans="1:10" x14ac:dyDescent="0.2">
      <c r="A10" s="1">
        <v>45300</v>
      </c>
      <c r="B10">
        <v>2300</v>
      </c>
      <c r="C10">
        <v>18400</v>
      </c>
      <c r="D10">
        <v>4200</v>
      </c>
      <c r="E10">
        <v>15500</v>
      </c>
      <c r="F10">
        <v>0.08</v>
      </c>
      <c r="G10" t="s">
        <v>13</v>
      </c>
      <c r="H10">
        <v>610</v>
      </c>
      <c r="I10">
        <v>61</v>
      </c>
      <c r="J10" t="s">
        <v>15</v>
      </c>
    </row>
    <row r="12" spans="1:10" x14ac:dyDescent="0.2">
      <c r="B12">
        <f>AVERAGEIFS(B2:B10,$G$2:$G$10, "No")</f>
        <v>1700</v>
      </c>
      <c r="C12">
        <f>AVERAGEIFS(C2:C10, $G$2:$G$10, "No")</f>
        <v>13600</v>
      </c>
      <c r="D12">
        <f>AVERAGEIFS(D2:D10,$G$2:$G$10, "No")</f>
        <v>3233.3333333333335</v>
      </c>
      <c r="E12">
        <f>AVERAGEIFS(E2:E10,$G$2:$G$10, "No")</f>
        <v>10833.333333333334</v>
      </c>
      <c r="H12">
        <f>AVERAGEIFS(H2:H10,$G$2:$G$10, "No")</f>
        <v>523.33333333333337</v>
      </c>
    </row>
    <row r="13" spans="1:10" x14ac:dyDescent="0.2">
      <c r="B13">
        <f>AVERAGEIFS(B2:B10, $G$2:$G$10, "Yes")</f>
        <v>2283.3333333333335</v>
      </c>
      <c r="C13">
        <f>AVERAGEIFS(C2:C10, $G$2:$G$10, "Yes")</f>
        <v>18266.666666666668</v>
      </c>
      <c r="D13">
        <f>AVERAGEIFS(D2:D10, $G$2:$G$10, "Yes")</f>
        <v>3916.6666666666665</v>
      </c>
      <c r="E13">
        <f>AVERAGEIFS(E2:E10, $G$2:$G$10, "Yes")</f>
        <v>14166.666666666666</v>
      </c>
      <c r="H13">
        <f>AVERAGEIFS(H2:H10, $G$2:$G$10, "Yes")</f>
        <v>595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E6AE2-6A2F-7748-9545-3E43DD4D7314}">
  <dimension ref="A1:I16"/>
  <sheetViews>
    <sheetView tabSelected="1" workbookViewId="0">
      <selection activeCell="G20" sqref="G20"/>
    </sheetView>
  </sheetViews>
  <sheetFormatPr baseColWidth="10" defaultRowHeight="16" x14ac:dyDescent="0.2"/>
  <sheetData>
    <row r="1" spans="1:9" x14ac:dyDescent="0.2">
      <c r="A1" s="2" t="s">
        <v>16</v>
      </c>
      <c r="B1" s="2" t="s">
        <v>17</v>
      </c>
      <c r="C1" s="2" t="s">
        <v>18</v>
      </c>
      <c r="D1" s="2" t="s">
        <v>19</v>
      </c>
      <c r="E1" s="2" t="s">
        <v>9</v>
      </c>
      <c r="F1" s="2" t="s">
        <v>20</v>
      </c>
      <c r="G1" s="2" t="s">
        <v>21</v>
      </c>
      <c r="H1" s="2" t="s">
        <v>22</v>
      </c>
      <c r="I1" s="2" t="s">
        <v>23</v>
      </c>
    </row>
    <row r="2" spans="1:9" x14ac:dyDescent="0.2">
      <c r="A2">
        <v>1</v>
      </c>
      <c r="B2">
        <v>45</v>
      </c>
      <c r="C2" t="s">
        <v>24</v>
      </c>
      <c r="D2" t="s">
        <v>25</v>
      </c>
      <c r="E2" t="s">
        <v>11</v>
      </c>
      <c r="F2" t="s">
        <v>26</v>
      </c>
      <c r="G2" t="s">
        <v>13</v>
      </c>
      <c r="H2">
        <v>10</v>
      </c>
      <c r="I2" t="s">
        <v>27</v>
      </c>
    </row>
    <row r="3" spans="1:9" x14ac:dyDescent="0.2">
      <c r="A3">
        <v>2</v>
      </c>
      <c r="B3">
        <v>50</v>
      </c>
      <c r="C3" t="s">
        <v>28</v>
      </c>
      <c r="D3" t="s">
        <v>29</v>
      </c>
      <c r="E3" t="s">
        <v>12</v>
      </c>
      <c r="F3" t="s">
        <v>30</v>
      </c>
      <c r="G3" t="s">
        <v>13</v>
      </c>
      <c r="H3">
        <v>15</v>
      </c>
      <c r="I3" t="s">
        <v>31</v>
      </c>
    </row>
    <row r="4" spans="1:9" x14ac:dyDescent="0.2">
      <c r="A4">
        <v>3</v>
      </c>
      <c r="B4">
        <v>62</v>
      </c>
      <c r="C4" t="s">
        <v>24</v>
      </c>
      <c r="D4" t="s">
        <v>25</v>
      </c>
      <c r="E4" t="s">
        <v>15</v>
      </c>
      <c r="F4" t="s">
        <v>26</v>
      </c>
      <c r="G4" t="s">
        <v>10</v>
      </c>
      <c r="H4">
        <v>20</v>
      </c>
      <c r="I4" t="s">
        <v>32</v>
      </c>
    </row>
    <row r="5" spans="1:9" x14ac:dyDescent="0.2">
      <c r="A5">
        <v>4</v>
      </c>
      <c r="B5">
        <v>39</v>
      </c>
      <c r="C5" t="s">
        <v>28</v>
      </c>
      <c r="D5" t="s">
        <v>25</v>
      </c>
      <c r="E5" t="s">
        <v>14</v>
      </c>
      <c r="F5" t="s">
        <v>30</v>
      </c>
      <c r="G5" t="s">
        <v>13</v>
      </c>
      <c r="H5">
        <v>8</v>
      </c>
      <c r="I5" t="s">
        <v>31</v>
      </c>
    </row>
    <row r="6" spans="1:9" x14ac:dyDescent="0.2">
      <c r="A6">
        <v>5</v>
      </c>
      <c r="B6">
        <v>55</v>
      </c>
      <c r="C6" t="s">
        <v>24</v>
      </c>
      <c r="D6" t="s">
        <v>25</v>
      </c>
      <c r="E6" t="s">
        <v>11</v>
      </c>
      <c r="F6" t="s">
        <v>26</v>
      </c>
      <c r="G6" t="s">
        <v>13</v>
      </c>
      <c r="H6">
        <v>12</v>
      </c>
      <c r="I6" t="s">
        <v>27</v>
      </c>
    </row>
    <row r="7" spans="1:9" x14ac:dyDescent="0.2">
      <c r="A7">
        <v>6</v>
      </c>
      <c r="B7">
        <v>67</v>
      </c>
      <c r="C7" t="s">
        <v>28</v>
      </c>
      <c r="D7" t="s">
        <v>29</v>
      </c>
      <c r="E7" t="s">
        <v>12</v>
      </c>
      <c r="F7" t="s">
        <v>30</v>
      </c>
      <c r="G7" t="s">
        <v>13</v>
      </c>
      <c r="H7">
        <v>25</v>
      </c>
      <c r="I7" t="s">
        <v>32</v>
      </c>
    </row>
    <row r="8" spans="1:9" x14ac:dyDescent="0.2">
      <c r="A8">
        <v>7</v>
      </c>
      <c r="B8">
        <v>58</v>
      </c>
      <c r="C8" t="s">
        <v>24</v>
      </c>
      <c r="D8" t="s">
        <v>25</v>
      </c>
      <c r="E8" t="s">
        <v>15</v>
      </c>
      <c r="F8" t="s">
        <v>26</v>
      </c>
      <c r="G8" t="s">
        <v>10</v>
      </c>
      <c r="H8">
        <v>18</v>
      </c>
      <c r="I8" t="s">
        <v>27</v>
      </c>
    </row>
    <row r="9" spans="1:9" x14ac:dyDescent="0.2">
      <c r="A9">
        <v>8</v>
      </c>
      <c r="B9">
        <v>63</v>
      </c>
      <c r="C9" t="s">
        <v>28</v>
      </c>
      <c r="D9" t="s">
        <v>29</v>
      </c>
      <c r="E9" t="s">
        <v>14</v>
      </c>
      <c r="F9" t="s">
        <v>30</v>
      </c>
      <c r="G9" t="s">
        <v>13</v>
      </c>
      <c r="H9">
        <v>22</v>
      </c>
      <c r="I9" t="s">
        <v>32</v>
      </c>
    </row>
    <row r="10" spans="1:9" x14ac:dyDescent="0.2">
      <c r="A10">
        <v>9</v>
      </c>
      <c r="B10">
        <v>47</v>
      </c>
      <c r="C10" t="s">
        <v>24</v>
      </c>
      <c r="D10" t="s">
        <v>25</v>
      </c>
      <c r="E10" t="s">
        <v>11</v>
      </c>
      <c r="F10" t="s">
        <v>26</v>
      </c>
      <c r="G10" t="s">
        <v>13</v>
      </c>
      <c r="H10">
        <v>10</v>
      </c>
      <c r="I10" t="s">
        <v>27</v>
      </c>
    </row>
    <row r="11" spans="1:9" x14ac:dyDescent="0.2">
      <c r="A11">
        <v>10</v>
      </c>
      <c r="B11">
        <v>50</v>
      </c>
      <c r="C11" t="s">
        <v>28</v>
      </c>
      <c r="D11" t="s">
        <v>25</v>
      </c>
      <c r="E11" t="s">
        <v>12</v>
      </c>
      <c r="F11" t="s">
        <v>30</v>
      </c>
      <c r="G11" t="s">
        <v>10</v>
      </c>
      <c r="H11">
        <v>30</v>
      </c>
      <c r="I11" t="s">
        <v>31</v>
      </c>
    </row>
    <row r="12" spans="1:9" x14ac:dyDescent="0.2">
      <c r="A12">
        <v>11</v>
      </c>
      <c r="B12">
        <v>60</v>
      </c>
      <c r="C12" t="s">
        <v>24</v>
      </c>
      <c r="D12" t="s">
        <v>25</v>
      </c>
      <c r="E12" t="s">
        <v>14</v>
      </c>
      <c r="F12" t="s">
        <v>26</v>
      </c>
      <c r="G12" t="s">
        <v>13</v>
      </c>
      <c r="H12">
        <v>15</v>
      </c>
      <c r="I12" t="s">
        <v>31</v>
      </c>
    </row>
    <row r="13" spans="1:9" x14ac:dyDescent="0.2">
      <c r="A13">
        <v>12</v>
      </c>
      <c r="B13">
        <v>52</v>
      </c>
      <c r="C13" t="s">
        <v>28</v>
      </c>
      <c r="D13" t="s">
        <v>29</v>
      </c>
      <c r="E13" t="s">
        <v>15</v>
      </c>
      <c r="F13" t="s">
        <v>30</v>
      </c>
      <c r="G13" t="s">
        <v>13</v>
      </c>
      <c r="H13">
        <v>20</v>
      </c>
      <c r="I13" t="s">
        <v>32</v>
      </c>
    </row>
    <row r="15" spans="1:9" x14ac:dyDescent="0.2">
      <c r="B15">
        <f>COUNTIF(F2:F13, "A")</f>
        <v>6</v>
      </c>
      <c r="C15">
        <f>COUNTIFS(F2:F13, "A", C2:C13, "Male")</f>
        <v>6</v>
      </c>
    </row>
    <row r="16" spans="1:9" x14ac:dyDescent="0.2">
      <c r="B16">
        <f>COUNTIF(F2:F13, "B")</f>
        <v>6</v>
      </c>
      <c r="C16">
        <f>COUNTIFS(F2:F13, "B", C2:C13, "Female")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Module3_assignment_data_1 - Mod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Manan Gosalia</cp:lastModifiedBy>
  <dcterms:created xsi:type="dcterms:W3CDTF">2024-11-06T12:34:27Z</dcterms:created>
  <dcterms:modified xsi:type="dcterms:W3CDTF">2024-11-06T12:46:07Z</dcterms:modified>
</cp:coreProperties>
</file>